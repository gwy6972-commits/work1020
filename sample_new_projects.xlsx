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신규사업_목록_및_예산" sheetId="1" r:id="rId1"/>
    <sheet name="2.신규사업_세부추진계획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6">
    <font>
      <name val="맑은 고딕"/>
      <sz val="10"/>
      <color rgb="FF1E293B"/>
    </font>
    <font>
      <b/>
      <name val="맑은 고딕"/>
      <sz val="10"/>
      <color rgb="FFFFFFFF"/>
    </font>
    <font>
      <b/>
      <name val="맑은 고딕"/>
      <sz val="11"/>
      <color rgb="FF1E3A8A"/>
    </font>
    <font>
      <b/>
      <name val="맑은 고딕"/>
      <sz val="15"/>
      <color rgb="FF0F172A"/>
    </font>
    <font>
      <b/>
      <name val="맑은 고딕"/>
      <sz val="10"/>
      <color rgb="FF1E293B"/>
    </font>
    <font>
      <b/>
      <name val="맑은 고딕"/>
      <sz val="10"/>
      <color rgb="FF059669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F1F5F9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</border>
  </borders>
  <cellStyleXfs count="1">
    <xf numFmtId="0" fontId="0" fillId="0" borderId="0"/>
  </cellStyleXfs>
  <cellXfs count="13">
    <!-- 0: 기본 -->
    <xf numFmtId="0" fontId="0" fillId="0" borderId="0" xfId="0"/>
    <!-- 1: 메인 헤더 (남색 배경, 흰색 굵은 글씨, 가운데) -->
    <xf numFmtId="0" fontId="1" fillId="2" borderId="1" xfId="0" applyFont="1" applyFill="1" applyBorder="1" applyAlignment="1">
      <alignment horizontal="center" vertical="center" wrapText="1"/>
    </xf>
    <!-- 2: 일반 텍스트 좌측 -->
    <xf numFmtId="0" fontId="0" fillId="0" borderId="1" xfId="0" applyBorder="1" applyAlignment="1">
      <alignment horizontal="left" vertical="center" wrapText="1"/>
    </xf>
    <!-- 3: 일반 텍스트 가운데 -->
    <xf numFmtId="0" fontId="0" fillId="0" borderId="1" xfId="0" applyBorder="1" applyAlignment="1">
      <alignment horizontal="center" vertical="center"/>
    </xf>
    <!-- 4: 정수 숫자 (#,##0) -->
    <xf numFmtId="3" fontId="0" fillId="0" borderId="1" xfId="0" applyNumberFormat="1" applyBorder="1" applyAlignment="1">
      <alignment horizontal="right" vertical="center"/>
    </xf>
    <!-- 5: 소수 2자리 숫자 (#,##0.00) -->
    <xf numFmtId="164" fontId="0" fillId="0" borderId="1" xfId="0" applyNumberFormat="1" applyBorder="1" applyAlignment="1">
      <alignment horizontal="right" vertical="center"/>
    </xf>
    <!-- 6: 신규 배지 (연녹색 배경, 녹색 굵은 글씨, 가운데) -->
    <xf numFmtId="0" fontId="5" fillId="5" borderId="1" xfId="0" applyFont="1" applyFill="1" applyBorder="1" applyAlignment="1">
      <alignment horizontal="center" vertical="center"/>
    </xf>
    <!-- 7: 합계 텍스트 가운데 (연파랑 배경, 굵게, 이중 밑줄) -->
    <xf numFmtId="0" fontId="4" fillId="3" borderId="2" xfId="0" applyFont="1" applyFill="1" applyBorder="1" applyAlignment="1">
      <alignment horizontal="center" vertical="center"/>
    </xf>
    <!-- 8: 합계 소수 2자리 숫자 (연파랑 배경, 굵게, 이중 밑줄) -->
    <xf numFmtId="164" fontId="4" fillId="3" borderId="2" xfId="0" applyNumberFormat="1" applyFont="1" applyFill="1" applyBorder="1" applyAlignment="1">
      <alignment horizontal="right" vertical="center"/>
    </xf>
    <!-- 9: 시트 대제목 -->
    <xf numFmtId="0" fontId="3" fillId="0" borderId="0" xfId="0" applyFont="1" applyAlignment="1">
      <alignment horizontal="left" vertical="center"/>
    </xf>
    <!-- 10: 시트 보조 설명/설명글 -->
    <xf numFmtId="0" fontId="2" fillId="0" borderId="0" xfId="0" applyFont="1" applyAlignment="1">
      <alignment horizontal="left" vertical="center"/>
    </xf>
    <!-- 11: 요약 통계 박스 -->
    <xf numFmtId="0" fontId="4" fillId="3" borderId="1" xfId="0" applyFont="1" applyFill="1" applyBorder="1" applyAlignment="1">
      <alignment horizontal="left" vertical="center"/>
    </xf>
    <!-- 12: 일반 텍스트 좌측 (줄바꿈 상단맞춤) -->
    <xf numFmtId="0" fontId="0" fillId="0" borderId="1" xfId="0" applyBorder="1" applyAlignment="1">
      <alignment horizontal="left" vertical="top" wrapText="1"/>
    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20"/>
  <cols>
    <col min="1" max="1" width="6" customWidth="1"/>
    <col min="2" max="2" width="11" customWidth="1"/>
    <col min="3" max="3" width="36" customWidth="1"/>
    <col min="4" max="4" width="28" customWidth="1"/>
    <col min="5" max="5" width="22" customWidth="1"/>
    <col min="6" max="6" width="14" customWidth="1"/>
    <col min="7" max="7" width="17" customWidth="1"/>
    <col min="8" max="8" width="15" customWidth="1"/>
    <col min="9" max="9" width="11" customWidth="1"/>
    <col min="10" max="10" width="65" customWidth="1"/>
  </cols>
  <sheetData>
    <row r="1" ht="30">
      <c r="B1" t="inlineStr" s="9">
        <is>
          <t>2027년 국방예산 정부안 주요 신규사업 현황</t>
        </is>
      </c>
    </row>
    <row r="2" ht="20">
      <c r="B2" t="inlineStr" s="10">
        <is>
          <t>2027년 국방분야 예산안 27대 주요사업(시트 3) 중 2027년 신규 도입·편성된 12개 사업 추출 및 분석</t>
        </is>
      </c>
    </row>
    <row r="3" ht="24">
      <c r="B3" t="inlineStr" s="11">
        <is>
          <t>▶ 신규사업 총 건수: 12건 | 2027년 신규 편성 예산 총액: 약 1,284.16억 원 (금액 산출 가능 사업 기준)</t>
        </is>
      </c>
    </row>
    <row r="5" ht="28">
      <c r="A5" t="inlineStr" s="1">
        <is>
          <t>연번</t>
        </is>
      </c>
      <c r="B5" t="inlineStr" s="1">
        <is>
          <t>원사업번호</t>
        </is>
      </c>
      <c r="C5" t="inlineStr" s="1">
        <is>
          <t>신규 사업명</t>
        </is>
      </c>
      <c r="D5" t="inlineStr" s="1">
        <is>
          <t>주관 기관 / 담당 부서</t>
        </is>
      </c>
      <c r="E5" t="inlineStr" s="1">
        <is>
          <t>담당자 연락처</t>
        </is>
      </c>
      <c r="F5" t="inlineStr" s="1">
        <is>
          <t>'26년 예산</t>
        </is>
      </c>
      <c r="G5" t="inlineStr" s="1">
        <is>
          <t>'27년 정부안(신규)</t>
        </is>
      </c>
      <c r="H5" t="inlineStr" s="1">
        <is>
          <t>신규 증감액</t>
        </is>
      </c>
      <c r="I5" t="inlineStr" s="1">
        <is>
          <t>단위</t>
        </is>
      </c>
      <c r="J5" t="inlineStr" s="1">
        <is>
          <t>핵심 신규사업 내용 및 추진목표</t>
        </is>
      </c>
    </row>
    <row r="6" ht="24">
      <c r="A6" t="inlineStr" s="3">
        <is>
          <t>1</t>
        </is>
      </c>
      <c r="B6" t="inlineStr" s="3">
        <is>
          <t>제 6 호</t>
        </is>
      </c>
      <c r="C6" t="inlineStr" s="2">
        <is>
          <t>미래 무기 핵심 국방반도체 자립화 R&amp;D 신설</t>
        </is>
      </c>
      <c r="D6" t="inlineStr" s="2">
        <is>
          <t>방위사업청 국방반도체인공지능과</t>
        </is>
      </c>
      <c r="E6" t="inlineStr" s="3">
        <is>
          <t>노용준 과장 (02-2079-4550)</t>
        </is>
      </c>
      <c r="F6" t="inlineStr" s="3">
        <is>
          <t>-</t>
        </is>
      </c>
      <c r="G6" s="5">
        <v>565</v>
      </c>
      <c r="H6" s="5">
        <f>G6</f>
        <v>565</v>
      </c>
      <c r="I6" t="inlineStr" s="3">
        <is>
          <t>억원</t>
        </is>
      </c>
      <c r="J6" t="inlineStr" s="2">
        <is>
          <t>국방반도체법 시행에 따른 무기체계 맞춤형 전용 R&amp;D 트랙 신설(565억 원), 기술개발(10개 과제 237억), 국산화 개발(6개 과제 112억), 산학연 공동연구센터(50억)</t>
        </is>
      </c>
    </row>
    <row r="7" ht="24">
      <c r="A7" t="inlineStr" s="3">
        <is>
          <t>2</t>
        </is>
      </c>
      <c r="B7" t="inlineStr" s="3">
        <is>
          <t>제 7 호</t>
        </is>
      </c>
      <c r="C7" t="inlineStr" s="2">
        <is>
          <t>국방 첨단항공추진체계(항공엔진) 기술개발 신규 R&amp;D</t>
        </is>
      </c>
      <c r="D7" t="inlineStr" s="2">
        <is>
          <t>방위사업청 첨단항공엔진개발사업팀</t>
        </is>
      </c>
      <c r="E7" t="inlineStr" s="3">
        <is>
          <t>심현석 팀장 (02-2079-4850)</t>
        </is>
      </c>
      <c r="F7" t="inlineStr" s="3">
        <is>
          <t>-</t>
        </is>
      </c>
      <c r="G7" s="5">
        <v>90</v>
      </c>
      <c r="H7" s="5">
        <f>G7</f>
        <v>90</v>
      </c>
      <c r="I7" t="inlineStr" s="3">
        <is>
          <t>억원</t>
        </is>
      </c>
      <c r="J7" t="inlineStr" s="2">
        <is>
          <t>무인전투기용 터보팬 엔진 신규 R&amp;D(신규 20억 원), 첨단항공엔진 미래도전국방기술 투자 확대(신규 70억 원)</t>
        </is>
      </c>
    </row>
    <row r="8" ht="24">
      <c r="A8" t="inlineStr" s="3">
        <is>
          <t>3</t>
        </is>
      </c>
      <c r="B8" t="inlineStr" s="3">
        <is>
          <t>제 8 호</t>
        </is>
      </c>
      <c r="C8" t="inlineStr" s="2">
        <is>
          <t>비전투분야 민간 아웃소싱 시범사업</t>
        </is>
      </c>
      <c r="D8" t="inlineStr" s="2">
        <is>
          <t>국방부 국군조직담당관</t>
        </is>
      </c>
      <c r="E8" t="inlineStr" s="3">
        <is>
          <t>안성민 과장 (02-748-6550)</t>
        </is>
      </c>
      <c r="F8" t="inlineStr" s="3">
        <is>
          <t>-</t>
        </is>
      </c>
      <c r="G8" t="inlineStr" s="6">
        <is>
          <t>시범실시</t>
        </is>
      </c>
      <c r="H8" t="inlineStr" s="6">
        <is>
          <t>순증(신설)</t>
        </is>
      </c>
      <c r="I8" t="inlineStr" s="3">
        <is>
          <t>제도/시범</t>
        </is>
      </c>
      <c r="J8" t="inlineStr" s="2">
        <is>
          <t>시설물 관리, 민통초소 운영, 학교부대 경비 등 비전투분야 민간 아웃소싱 시범사업 신규 실시</t>
        </is>
      </c>
    </row>
    <row r="9" ht="24">
      <c r="A9" t="inlineStr" s="3">
        <is>
          <t>4</t>
        </is>
      </c>
      <c r="B9" t="inlineStr" s="3">
        <is>
          <t>제 9 호</t>
        </is>
      </c>
      <c r="C9" t="inlineStr" s="2">
        <is>
          <t>초급간부 기본급 추가 처우개선 (월 보수 300만원 달성)</t>
        </is>
      </c>
      <c r="D9" t="inlineStr" s="2">
        <is>
          <t>국방부 복지정책과</t>
        </is>
      </c>
      <c r="E9" t="inlineStr" s="3">
        <is>
          <t>김상호 과장 (02-748-6610)</t>
        </is>
      </c>
      <c r="F9" t="inlineStr" s="3">
        <is>
          <t>-</t>
        </is>
      </c>
      <c r="G9" s="5">
        <v>316</v>
      </c>
      <c r="H9" s="5">
        <f>G9</f>
        <v>316</v>
      </c>
      <c r="I9" t="inlineStr" s="3">
        <is>
          <t>억원</t>
        </is>
      </c>
      <c r="J9" t="inlineStr" s="2">
        <is>
          <t>저연차 초급간부(하·중사, 소·중위) 기본급 인상률 최대 5.9% 반영 (공통 3.9% 대비 추가처우개선 +2.0%p 신규 316억 투입)</t>
        </is>
      </c>
    </row>
    <row r="10" ht="24">
      <c r="A10" t="inlineStr" s="3">
        <is>
          <t>5</t>
        </is>
      </c>
      <c r="B10" t="inlineStr" s="3">
        <is>
          <t>제 11 호</t>
        </is>
      </c>
      <c r="C10" t="inlineStr" s="2">
        <is>
          <t>단기복무 부사관 적금 매칭지원금 신설</t>
        </is>
      </c>
      <c r="D10" t="inlineStr" s="2">
        <is>
          <t>국방부 복지정책과</t>
        </is>
      </c>
      <c r="E10" t="inlineStr" s="3">
        <is>
          <t>김상호 과장 (02-748-6610)</t>
        </is>
      </c>
      <c r="F10" t="inlineStr" s="3">
        <is>
          <t>-</t>
        </is>
      </c>
      <c r="G10" s="5">
        <v>189</v>
      </c>
      <c r="H10" s="5">
        <f>G10</f>
        <v>189</v>
      </c>
      <c r="I10" t="inlineStr" s="3">
        <is>
          <t>억원</t>
        </is>
      </c>
      <c r="J10" t="inlineStr" s="2">
        <is>
          <t>단기복무 임관 부사관 대상 3년 적금 가입 시 정부지원금 매월 최대 30만원(36개월) 신규 매칭 지원(189억 원)</t>
        </is>
      </c>
    </row>
    <row r="11" ht="24">
      <c r="A11" t="inlineStr" s="3">
        <is>
          <t>6</t>
        </is>
      </c>
      <c r="B11" t="inlineStr" s="3">
        <is>
          <t>제 12 호</t>
        </is>
      </c>
      <c r="C11" t="inlineStr" s="2">
        <is>
          <t>간부숙소 미입주자 전세자금 대출이자 지원 신설</t>
        </is>
      </c>
      <c r="D11" t="inlineStr" s="2">
        <is>
          <t>국방부 군주거정책과</t>
        </is>
      </c>
      <c r="E11" t="inlineStr" s="3">
        <is>
          <t>강정화 과장 (02-748-5470)</t>
        </is>
      </c>
      <c r="F11" t="inlineStr" s="3">
        <is>
          <t>-</t>
        </is>
      </c>
      <c r="G11" s="5">
        <v>1.05</v>
      </c>
      <c r="H11" s="5">
        <f>G11</f>
        <v>1.05</v>
      </c>
      <c r="I11" t="inlineStr" s="3">
        <is>
          <t>억원</t>
        </is>
      </c>
      <c r="J11" t="inlineStr" s="2">
        <is>
          <t>간부숙소를 제공받지 못한 군인도 전세자금 지원대상에 신규 포함(1,054명, 1.05억 원) 및 관사 단가 인상</t>
        </is>
      </c>
    </row>
    <row r="12" ht="24">
      <c r="A12" t="inlineStr" s="3">
        <is>
          <t>7</t>
        </is>
      </c>
      <c r="B12" t="inlineStr" s="3">
        <is>
          <t>제 17 호</t>
        </is>
      </c>
      <c r="C12" t="inlineStr" s="2">
        <is>
          <t>대규모 동원훈련 민간 응급의료팀 근접지원 신설</t>
        </is>
      </c>
      <c r="D12" t="inlineStr" s="2">
        <is>
          <t>국방부 예비군훈련정책과</t>
        </is>
      </c>
      <c r="E12" t="inlineStr" s="3">
        <is>
          <t>김후길 과장 (02-748-5240)</t>
        </is>
      </c>
      <c r="F12" t="inlineStr" s="3">
        <is>
          <t>-</t>
        </is>
      </c>
      <c r="G12" s="5">
        <v>7.2</v>
      </c>
      <c r="H12" s="5">
        <f>G12</f>
        <v>7.2</v>
      </c>
      <c r="I12" t="inlineStr" s="3">
        <is>
          <t>억원</t>
        </is>
      </c>
      <c r="J12" t="inlineStr" s="2">
        <is>
          <t>동시통합훈련을 실시하는 12개 동원사단에 민간 응급의료팀 신규 지원(12개 사단별 10개 팀 3일간 지원, 7.2억 원)</t>
        </is>
      </c>
    </row>
    <row r="13" ht="24">
      <c r="A13" t="inlineStr" s="3">
        <is>
          <t>8</t>
        </is>
      </c>
      <c r="B13" t="inlineStr" s="3">
        <is>
          <t>제 18 호</t>
        </is>
      </c>
      <c r="C13" t="inlineStr" s="2">
        <is>
          <t>군 복무 병사 단체 상해보험 제도 신규 도입</t>
        </is>
      </c>
      <c r="D13" t="inlineStr" s="2">
        <is>
          <t>국방부 보건정책과</t>
        </is>
      </c>
      <c r="E13" t="inlineStr" s="3">
        <is>
          <t>김해인 과장 (02-748-6640)</t>
        </is>
      </c>
      <c r="F13" t="inlineStr" s="3">
        <is>
          <t>-</t>
        </is>
      </c>
      <c r="G13" s="5">
        <v>69</v>
      </c>
      <c r="H13" s="5">
        <f>G13</f>
        <v>69</v>
      </c>
      <c r="I13" t="inlineStr" s="3">
        <is>
          <t>억원</t>
        </is>
      </c>
      <c r="J13" t="inlineStr" s="2">
        <is>
          <t>병사가 군 복무 중 부상을 당할 경우 상해에 대한 보상을 지원하는 병사 단체 상해보험 신규 도입('27.7월 시행, 69억 원)</t>
        </is>
      </c>
    </row>
    <row r="14" ht="24">
      <c r="A14" t="inlineStr" s="3">
        <is>
          <t>9</t>
        </is>
      </c>
      <c r="B14" t="inlineStr" s="3">
        <is>
          <t>제 20 호</t>
        </is>
      </c>
      <c r="C14" t="inlineStr" s="2">
        <is>
          <t>'한 총, 한 책' 독서 병영문화 프로젝트 신설</t>
        </is>
      </c>
      <c r="D14" t="inlineStr" s="2">
        <is>
          <t>국방부 정신전력정책과</t>
        </is>
      </c>
      <c r="E14" t="inlineStr" s="3">
        <is>
          <t>변수진 과장 (02-748-6260)</t>
        </is>
      </c>
      <c r="F14" t="inlineStr" s="3">
        <is>
          <t>-</t>
        </is>
      </c>
      <c r="G14" s="5">
        <v>8.5</v>
      </c>
      <c r="H14" s="5">
        <f>G14</f>
        <v>8.5</v>
      </c>
      <c r="I14" t="inlineStr" s="3">
        <is>
          <t>억원</t>
        </is>
      </c>
      <c r="J14" t="inlineStr" s="2">
        <is>
          <t>연간 20.5만 명 입대 장병 대상 문무겸비 인재 육성을 위한 '한 손에 총, 한 손에 책' 독서 프로젝트 신설(8.5억 원)</t>
        </is>
      </c>
    </row>
    <row r="15" ht="24">
      <c r="A15" t="inlineStr" s="3">
        <is>
          <t>10</t>
        </is>
      </c>
      <c r="B15" t="inlineStr" s="3">
        <is>
          <t>제 25 호</t>
        </is>
      </c>
      <c r="C15" t="inlineStr" s="2">
        <is>
          <t>생성형 AI 기반 원스톱 병무행정 서비스 구축</t>
        </is>
      </c>
      <c r="D15" t="inlineStr" s="2">
        <is>
          <t>병무청 정보기획과</t>
        </is>
      </c>
      <c r="E15" t="inlineStr" s="3">
        <is>
          <t>백상현 과장 (042-481-2634)</t>
        </is>
      </c>
      <c r="F15" t="inlineStr" s="3">
        <is>
          <t>-</t>
        </is>
      </c>
      <c r="G15" s="5">
        <v>19.32</v>
      </c>
      <c r="H15" s="5">
        <f>G15</f>
        <v>19.32</v>
      </c>
      <c r="I15" t="inlineStr" s="3">
        <is>
          <t>억원</t>
        </is>
      </c>
      <c r="J15" t="inlineStr" s="2">
        <is>
          <t>생성형 AI 및 AI 에이전트를 활용한 맞춤형 병무상담과 One-Stop 민원신청 서비스 신규 구축 (19.32억 원)</t>
        </is>
      </c>
    </row>
    <row r="16" ht="24">
      <c r="A16" t="inlineStr" s="3">
        <is>
          <t>11</t>
        </is>
      </c>
      <c r="B16" t="inlineStr" s="3">
        <is>
          <t>제 26 호</t>
        </is>
      </c>
      <c r="C16" t="inlineStr" s="2">
        <is>
          <t>예비군 동원훈련 행정업무 병무청 일원화 시스템 구축</t>
        </is>
      </c>
      <c r="D16" t="inlineStr" s="2">
        <is>
          <t>병무청 동원관리과</t>
        </is>
      </c>
      <c r="E16" t="inlineStr" s="3">
        <is>
          <t>김삼학 과장 (042-481-2763)</t>
        </is>
      </c>
      <c r="F16" t="inlineStr" s="3">
        <is>
          <t>-</t>
        </is>
      </c>
      <c r="G16" s="5">
        <v>13.5</v>
      </c>
      <c r="H16" s="5">
        <f>G16</f>
        <v>13.5</v>
      </c>
      <c r="I16" t="inlineStr" s="3">
        <is>
          <t>억원</t>
        </is>
      </c>
      <c r="J16" t="inlineStr" s="2">
        <is>
          <t>국방부(동원Ⅱ형)와 병무청(동원Ⅰ형)으로 이원화된 동원훈련 행정을 병무청으로 일원화하는 통합관리시스템 신규 구축 (13.5억 원)</t>
        </is>
      </c>
    </row>
    <row r="17" ht="24">
      <c r="A17" t="inlineStr" s="3">
        <is>
          <t>12</t>
        </is>
      </c>
      <c r="B17" t="inlineStr" s="3">
        <is>
          <t>제 27 호</t>
        </is>
      </c>
      <c r="C17" t="inlineStr" s="2">
        <is>
          <t>국외거주 병역의무자 입영(소집) 항공여비 신규 지급</t>
        </is>
      </c>
      <c r="D17" t="inlineStr" s="2">
        <is>
          <t>병무청 국외자원관리과</t>
        </is>
      </c>
      <c r="E17" t="inlineStr" s="3">
        <is>
          <t>변인경 과장 (042-481-2912)</t>
        </is>
      </c>
      <c r="F17" t="inlineStr" s="3">
        <is>
          <t>-</t>
        </is>
      </c>
      <c r="G17" s="5">
        <v>5.59</v>
      </c>
      <c r="H17" s="5">
        <f>G17</f>
        <v>5.59</v>
      </c>
      <c r="I17" t="inlineStr" s="3">
        <is>
          <t>억원</t>
        </is>
      </c>
      <c r="J17" t="inlineStr" s="2">
        <is>
          <t>영주권자 등 국외거주 병역의무자가 입영(소집) 목적으로 귀국 시 항공여비 신규 국고 지원 (약 5.6억 원, 400여 명)</t>
        </is>
      </c>
    </row>
    <row r="18" ht="26">
      <c r="A18" t="inlineStr" s="7">
        <is>
          <t/>
        </is>
      </c>
      <c r="B18" t="inlineStr" s="7">
        <is>
          <t/>
        </is>
      </c>
      <c r="C18" t="inlineStr" s="7">
        <is>
          <t>신규사업 예산 합계 (12개 사업)</t>
        </is>
      </c>
      <c r="D18" t="inlineStr" s="7">
        <is>
          <t/>
        </is>
      </c>
      <c r="E18" t="inlineStr" s="7">
        <is>
          <t/>
        </is>
      </c>
      <c r="F18" t="inlineStr" s="7">
        <is>
          <t>-</t>
        </is>
      </c>
      <c r="G18" s="8">
        <f>SUM(G17)</f>
        <v>1284.16</v>
      </c>
      <c r="H18" s="8">
        <f>SUM(H17)</f>
        <v>1284.16</v>
      </c>
      <c r="I18" t="inlineStr" s="7">
        <is>
          <t>억원</t>
        </is>
      </c>
      <c r="J18" t="inlineStr" s="7">
        <is>
          <t>※ 2027년 국방예산 정부안 중 신설·신규 도입 12개 사업 총 예산 순증액 합계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20"/>
  <cols>
    <col min="1" max="1" width="6" customWidth="1"/>
    <col min="2" max="2" width="30" customWidth="1"/>
    <col min="3" max="3" width="28" customWidth="1"/>
    <col min="4" max="4" width="26" customWidth="1"/>
    <col min="5" max="5" width="46" customWidth="1"/>
    <col min="6" max="6" width="38" customWidth="1"/>
  </cols>
  <sheetData>
    <row r="1" ht="30">
      <c r="B1" t="inlineStr" s="9">
        <is>
          <t>2027년 국방분야 12대 신규사업 세부추진계획 및 정책효과</t>
        </is>
      </c>
    </row>
    <row r="2" ht="20">
      <c r="B2" t="inlineStr" s="10">
        <is>
          <t>각 신규사업별 지원대상, 법령/제도 근거, 세부 추진내용 및 중점 일정, 기대효과 종합</t>
        </is>
      </c>
    </row>
    <row r="4" ht="26">
      <c r="A4" t="inlineStr" s="1">
        <is>
          <t>연번</t>
        </is>
      </c>
      <c r="B4" t="inlineStr" s="1">
        <is>
          <t>신규 사업명</t>
        </is>
      </c>
      <c r="C4" t="inlineStr" s="1">
        <is>
          <t>지원 대상 및 수혜 규모</t>
        </is>
      </c>
      <c r="D4" t="inlineStr" s="1">
        <is>
          <t>추진 근거 및 법령</t>
        </is>
      </c>
      <c r="E4" t="inlineStr" s="1">
        <is>
          <t>세부 추진 내용 및 도입 일정</t>
        </is>
      </c>
      <c r="F4" t="inlineStr" s="1">
        <is>
          <t>기대 효과 및 정책 의의</t>
        </is>
      </c>
    </row>
    <row r="5" ht="45">
      <c r="A5" t="inlineStr" s="3">
        <is>
          <t>1</t>
        </is>
      </c>
      <c r="B5" t="inlineStr" s="12">
        <is>
          <t>미래 무기 핵심 국방반도체 자립화 R&amp;D 신설</t>
        </is>
      </c>
      <c r="C5" t="inlineStr" s="12">
        <is>
          <t>국내 반도체 팹리스·파운드리 기업, 대학 및 국방 연구기관</t>
        </is>
      </c>
      <c r="D5" t="inlineStr" s="12">
        <is>
          <t>국방반도체법 제정·공포('26.6월) 및 법 시행('26.12월)</t>
        </is>
      </c>
      <c r="E5" t="inlineStr" s="12">
        <is>
          <t>무기체계 연계성·기술성숙도(TRL)별 R&amp;D 유형 다변화, 학교-기업 컨소시엄형 산학연 공동연구센터 구축(센터당 2~4백억, '27년 50억)</t>
        </is>
      </c>
      <c r="F5" t="inlineStr" s="12">
        <is>
          <t>AI 첨단무기 핵심 반도체 해외 의존 탈피 및 기술자립 기반 마련, 안정적 군 공급망 확보</t>
        </is>
      </c>
    </row>
    <row r="6" ht="45">
      <c r="A6" t="inlineStr" s="3">
        <is>
          <t>2</t>
        </is>
      </c>
      <c r="B6" t="inlineStr" s="12">
        <is>
          <t>국방 첨단항공추진체계(항공엔진) 기술개발 신규 R&amp;D</t>
        </is>
      </c>
      <c r="C6" t="inlineStr" s="12">
        <is>
          <t>해·공군 유·무인 복합전투체계 (무인전투기, 편대기, 차세대전투기)</t>
        </is>
      </c>
      <c r="D6" t="inlineStr" s="12">
        <is>
          <t>국정과제 113-4 '첨단항공엔진 등 첨단기술 R&amp;D 확대를 통한 기술자립', 국가전략기술 지정</t>
        </is>
      </c>
      <c r="E6" t="inlineStr" s="12">
        <is>
          <t>5,500 lbf급(무인편대기용) 경량 터보팬 엔진 시험개발 기술 선제 확보 및 16,000 lbf급 차세대전투기용 엔진 R&amp;D 착수</t>
        </is>
      </c>
      <c r="F6" t="inlineStr" s="12">
        <is>
          <t>항공전력의 심장인 엔진 핵심기술 국내 독자 확보, 항공 방위산업 생태계 및 자주국방 토대 구축</t>
        </is>
      </c>
    </row>
    <row r="7" ht="45">
      <c r="A7" t="inlineStr" s="3">
        <is>
          <t>3</t>
        </is>
      </c>
      <c r="B7" t="inlineStr" s="12">
        <is>
          <t>비전투분야 민간 아웃소싱 시범사업</t>
        </is>
      </c>
      <c r="C7" t="inlineStr" s="12">
        <is>
          <t>육군 5사단 1개 대대, 5군단 6개 민통초소, 2개 학교부대(종행교, 학사교)</t>
        </is>
      </c>
      <c r="D7" t="inlineStr" s="12">
        <is>
          <t>국방개혁 및 인구구조 변화에 따른 상비병력 감축 대응 계획</t>
        </is>
      </c>
      <c r="E7" t="inlineStr" s="12">
        <is>
          <t>대대급 제초·제설·시설종합관리 민간위탁, 민통초소 출입통제 근무 민간위탁, 학교부대 위병소·출입관리·CCTV 관제 외주화 (상황발생 시 5분대기조 출동체계 유지)</t>
        </is>
      </c>
      <c r="F7" t="inlineStr" s="12">
        <is>
          <t>현역 장병의 비전투 잡무 부담 획기적 경감, 한정된 병력의 실전투임무 집중을 통한 군사대비태세 완비</t>
        </is>
      </c>
    </row>
    <row r="8" ht="45">
      <c r="A8" t="inlineStr" s="3">
        <is>
          <t>4</t>
        </is>
      </c>
      <c r="B8" t="inlineStr" s="12">
        <is>
          <t>초급간부 기본급 추가 처우개선 (월 보수 300만원 달성)</t>
        </is>
      </c>
      <c r="C8" t="inlineStr" s="12">
        <is>
          <t>저연차 초급간부 (하사, 중사, 소위, 중위)</t>
        </is>
      </c>
      <c r="D8" t="inlineStr" s="12">
        <is>
          <t>BH(비서실장) '공직 활력 제고 핵심성과' 브리핑('25.11월)</t>
        </is>
      </c>
      <c r="E8" t="inlineStr" s="12">
        <is>
          <t>하사 1호봉 기준 월평균 보수 300만 원 (연봉 약 3,600만 원) 도달 수준으로 기본급 처우 대폭 개선</t>
        </is>
      </c>
      <c r="F8" t="inlineStr" s="12">
        <is>
          <t>현역병 봉급 인상에 따른 상대적 박탈감 해소 및 급감하던 초급간부 지원율 반등 견인</t>
        </is>
      </c>
    </row>
    <row r="9" ht="45">
      <c r="A9" t="inlineStr" s="3">
        <is>
          <t>5</t>
        </is>
      </c>
      <c r="B9" t="inlineStr" s="12">
        <is>
          <t>단기복무 부사관 적금 매칭지원금 신설</t>
        </is>
      </c>
      <c r="C9" t="inlineStr" s="12">
        <is>
          <t>'27년 이후 임관 단기복무 부사관 (연간 약 9,600명)</t>
        </is>
      </c>
      <c r="D9" t="inlineStr" s="12">
        <is>
          <t>간부 중심 스마트 정예 강군 병력구조 전환 인센티브 정책</t>
        </is>
      </c>
      <c r="E9" t="inlineStr" s="12">
        <is>
          <t>군 적금(이율 5.5%) 가입 시 납입액 비례 매월 최대 30만원 매칭(36개월). 만기 시 약 2,310만 원 자산 형성 지원 (원금 1,080만 + 지원금 1,080만 + 이자 150만)</t>
        </is>
      </c>
      <c r="F9" t="inlineStr" s="12">
        <is>
          <t>병 의무복무 대체 선택지로서 기술집약형 단기복무 부사관 지원 유인 대폭 제고</t>
        </is>
      </c>
    </row>
    <row r="10" ht="45">
      <c r="A10" t="inlineStr" s="3">
        <is>
          <t>6</t>
        </is>
      </c>
      <c r="B10" t="inlineStr" s="12">
        <is>
          <t>간부숙소 미입주자 전세자금 대출이자 지원 신설</t>
        </is>
      </c>
      <c r="C10" t="inlineStr" s="12">
        <is>
          <t>노후숙소 보수 및 인사이동 등으로 관사·간부숙소에 입주하지 못한 군 간부 1,054명</t>
        </is>
      </c>
      <c r="D10" t="inlineStr" s="12">
        <is>
          <t>군인복지기본법 개정('26. 6. 9. 시행)</t>
        </is>
      </c>
      <c r="E10" t="inlineStr" s="12">
        <is>
          <t>민간주택 전세자금 대출이자 직접 지원(간부숙소 기준 1.05억 한도). 국방부-금융기관 협약에 따라 발생 이자를 국방부가 금융기관에 직접 정산</t>
        </is>
      </c>
      <c r="F10" t="inlineStr" s="12">
        <is>
          <t>일시적 숙소 부족으로 민간 전세를 구하는 청년 초급간부의 실질적 주거비 부담 경감</t>
        </is>
      </c>
    </row>
    <row r="11" ht="45">
      <c r="A11" t="inlineStr" s="3">
        <is>
          <t>7</t>
        </is>
      </c>
      <c r="B11" t="inlineStr" s="12">
        <is>
          <t>대규모 동원훈련 민간 응급의료팀 근접지원 신설</t>
        </is>
      </c>
      <c r="C11" t="inlineStr" s="12">
        <is>
          <t>동원훈련 참가 예비군 4~5천여 명 규모의 12개 동원사단</t>
        </is>
      </c>
      <c r="D11" t="inlineStr" s="12">
        <is>
          <t>예비군 훈련장 안전관리 강화 및 대규모 훈련 시 의무지원체계 개선방안</t>
        </is>
      </c>
      <c r="E11" t="inlineStr" s="12">
        <is>
          <t>응급구조사+운전기사+구급차로 구성된 민간 의료팀 단기 계약 운용(사단당 10개 팀 밀착 배치), 현장 응급처치 및 최기병원 신속 후송</t>
        </is>
      </c>
      <c r="F11" t="inlineStr" s="12">
        <is>
          <t>평시 부족한 동원사단 군의관·의무 자산 보완, 예비군 훈련 간 응급상황 발생 시 인명사고 예방</t>
        </is>
      </c>
    </row>
    <row r="12" ht="45">
      <c r="A12" t="inlineStr" s="3">
        <is>
          <t>8</t>
        </is>
      </c>
      <c r="B12" t="inlineStr" s="12">
        <is>
          <t>군 복무 병사 단체 상해보험 제도 신규 도입</t>
        </is>
      </c>
      <c r="C12" t="inlineStr" s="12">
        <is>
          <t>현역병 및 상근예비역 약 29만 명</t>
        </is>
      </c>
      <c r="D12" t="inlineStr" s="12">
        <is>
          <t>군 복무 중 부상 병사에 대한 국가책임 강화 정책</t>
        </is>
      </c>
      <c r="E12" t="inlineStr" s="12">
        <is>
          <t>우정사업본부 협업 공공 보험설계. 사망(상해·질병) 5천만원, 입원일당 4만원, 수술비 20만원, 골절 30만원, 중증장해 1천만원, 영외 교통상해사망 최대 2억원 등 보장</t>
        </is>
      </c>
      <c r="F12" t="inlineStr" s="12">
        <is>
          <t>치료비뿐만 아니라 상해보상금까지 국가가 온전히 책임지는 다층적 군 의료보장체계 구축</t>
        </is>
      </c>
    </row>
    <row r="13" ht="45">
      <c r="A13" t="inlineStr" s="3">
        <is>
          <t>9</t>
        </is>
      </c>
      <c r="B13" t="inlineStr" s="12">
        <is>
          <t>'한 총, 한 책' 독서 병영문화 프로젝트 신설</t>
        </is>
      </c>
      <c r="C13" t="inlineStr" s="12">
        <is>
          <t>연간 신병교육대 입소 장병 20.5만여 명 및 전군 복무 장병</t>
        </is>
      </c>
      <c r="D13" t="inlineStr" s="12">
        <is>
          <t>지혜로운 첨단강군 육성을 위한 병영문화 혁신과제</t>
        </is>
      </c>
      <c r="E13" t="inlineStr" s="12">
        <is>
          <t>신교대 1인 1권 독서, 전문가 독서코칭 및 저자 초청 강연(7억 원), 독후감 작성 시 외출 1일 포상 인센티브, 글·쇼츠 독후감 공모전(1.5억 원)</t>
        </is>
      </c>
      <c r="F13" t="inlineStr" s="12">
        <is>
          <t>군 복무기간을 단절이 아닌 자기계발과 국가경쟁력을 높이는 미래 준비의 기회로 전환</t>
        </is>
      </c>
    </row>
    <row r="14" ht="45">
      <c r="A14" t="inlineStr" s="3">
        <is>
          <t>10</t>
        </is>
      </c>
      <c r="B14" t="inlineStr" s="12">
        <is>
          <t>생성형 AI 기반 원스톱 병무행정 서비스 구축</t>
        </is>
      </c>
      <c r="C14" t="inlineStr" s="12">
        <is>
          <t>병역의무자 및 가족 전 국민</t>
        </is>
      </c>
      <c r="D14" t="inlineStr" s="12">
        <is>
          <t>디지털플랫폼정부 구현 및 국민체감형 행정서비스 혁신</t>
        </is>
      </c>
      <c r="E14" t="inlineStr" s="12">
        <is>
          <t>병무행정 특화 검색증강생성(RAG) 챗봇 및 AI 에이전트 도입(2,500여 건 시나리오 및 법령 학습), 상담-신청-결과확인 One-Stop 연계, 개인별 병역설계 및 프롬프트 보안 필터링</t>
        </is>
      </c>
      <c r="F14" t="inlineStr" s="12">
        <is>
          <t>24시간 의도 기반 맞춤형 병무상담 지원, 민원 대기시간 단축 및 병역이행 편의 대폭 향상</t>
        </is>
      </c>
    </row>
    <row r="15" ht="45">
      <c r="A15" t="inlineStr" s="3">
        <is>
          <t>11</t>
        </is>
      </c>
      <c r="B15" t="inlineStr" s="12">
        <is>
          <t>예비군 동원훈련 행정업무 병무청 일원화 시스템 구축</t>
        </is>
      </c>
      <c r="C15" t="inlineStr" s="12">
        <is>
          <t>전국 동원예비군 (동원Ⅰ형 및 Ⅱ형 편성자)</t>
        </is>
      </c>
      <c r="D15" t="inlineStr" s="12">
        <is>
          <t>국방부-병무청 행정 효율화 합의 및 병역법 개정 추진('27.6월)</t>
        </is>
      </c>
      <c r="E15" t="inlineStr" s="12">
        <is>
          <t>병무행정시스템 내 동원훈련Ⅱ형 단위업무 화면(훈련일자 본인선택, 모바일 통지, 연기 신청, 여비 지급 등) 신규 개발 및 모의적용</t>
        </is>
      </c>
      <c r="F15" t="inlineStr" s="12">
        <is>
          <t>이원화 행정에 따른 국민 혼선 및 행정 비효율 해소, 예비군이 원하는 훈련일자 선택 편의 제공</t>
        </is>
      </c>
    </row>
    <row r="16" ht="45">
      <c r="A16" t="inlineStr" s="3">
        <is>
          <t>12</t>
        </is>
      </c>
      <c r="B16" t="inlineStr" s="12">
        <is>
          <t>국외거주 병역의무자 입영(소집) 항공여비 신규 지급</t>
        </is>
      </c>
      <c r="C16" t="inlineStr" s="12">
        <is>
          <t>영주권 입영희망원 신청 후 국내로 입영하는 국외체류 병역의무자 (연간 약 438명)</t>
        </is>
      </c>
      <c r="D16" t="inlineStr" s="12">
        <is>
          <t>병역법 제79조(여비 등의 국고부담)</t>
        </is>
      </c>
      <c r="E16" t="inlineStr" s="12">
        <is>
          <t>입영(소집)을 위한 국내 입국 항공료 지원(1인당 평균 약 128만 원 지급), '입영-복무-전역' 전주기 항공여비 지원체계 완성</t>
        </is>
      </c>
      <c r="F16" t="inlineStr" s="12">
        <is>
          <t>자발적 병역이행 재외국민에 대한 국가책임 및 자긍심 고취, 성실 병역문화 확산</t>
        </is>
      </c>
    </row>
  </sheetData>
</worksheet>
</file>